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esarrollo\htdocs\dinamyLab\resources\utils\tablas_de_referencia\septiembre\doctora_sandra\"/>
    </mc:Choice>
  </mc:AlternateContent>
  <xr:revisionPtr revIDLastSave="0" documentId="8_{3FE1CE57-9B65-4262-BBDC-43A9547908E9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Hoja1" sheetId="1" r:id="rId1"/>
  </sheets>
  <externalReferences>
    <externalReference r:id="rId2"/>
  </externalReferences>
  <definedNames>
    <definedName name="_xlnm._FilterDatabase" localSheetId="0" hidden="1">Hoja1!$A$1:$Q$44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J43" i="1"/>
  <c r="C43" i="1"/>
  <c r="J42" i="1"/>
  <c r="J41" i="1"/>
  <c r="K40" i="1"/>
  <c r="J40" i="1"/>
  <c r="I40" i="1"/>
  <c r="H40" i="1"/>
  <c r="K39" i="1"/>
  <c r="J39" i="1"/>
  <c r="I39" i="1"/>
  <c r="H39" i="1"/>
  <c r="K38" i="1"/>
  <c r="J38" i="1"/>
  <c r="I38" i="1"/>
  <c r="H38" i="1"/>
  <c r="K37" i="1"/>
  <c r="J37" i="1"/>
  <c r="I37" i="1"/>
  <c r="H37" i="1"/>
  <c r="K36" i="1"/>
  <c r="J36" i="1"/>
  <c r="I36" i="1"/>
  <c r="H36" i="1"/>
  <c r="K35" i="1"/>
  <c r="J35" i="1"/>
  <c r="I35" i="1"/>
  <c r="H35" i="1"/>
  <c r="K34" i="1"/>
  <c r="J34" i="1"/>
  <c r="I34" i="1"/>
  <c r="H34" i="1"/>
  <c r="K33" i="1"/>
  <c r="J33" i="1"/>
  <c r="I33" i="1"/>
  <c r="H33" i="1"/>
  <c r="K32" i="1"/>
  <c r="J32" i="1"/>
  <c r="I32" i="1"/>
  <c r="H32" i="1"/>
  <c r="K31" i="1"/>
  <c r="J31" i="1"/>
  <c r="I31" i="1"/>
  <c r="H31" i="1"/>
  <c r="K30" i="1"/>
  <c r="J30" i="1"/>
  <c r="I30" i="1"/>
  <c r="H30" i="1"/>
  <c r="K29" i="1"/>
  <c r="J29" i="1"/>
  <c r="I29" i="1"/>
  <c r="H29" i="1"/>
  <c r="K28" i="1"/>
  <c r="J28" i="1"/>
  <c r="I28" i="1"/>
  <c r="H28" i="1"/>
  <c r="K27" i="1"/>
  <c r="J27" i="1"/>
  <c r="I27" i="1"/>
  <c r="H27" i="1"/>
  <c r="K26" i="1"/>
  <c r="J26" i="1"/>
  <c r="I26" i="1"/>
  <c r="H26" i="1"/>
  <c r="K25" i="1"/>
  <c r="J25" i="1"/>
  <c r="I25" i="1"/>
  <c r="H25" i="1"/>
  <c r="K24" i="1"/>
  <c r="J24" i="1"/>
  <c r="I24" i="1"/>
  <c r="H24" i="1"/>
  <c r="K23" i="1"/>
  <c r="J23" i="1"/>
  <c r="I23" i="1"/>
  <c r="H23" i="1"/>
  <c r="K22" i="1"/>
  <c r="J22" i="1"/>
  <c r="I22" i="1"/>
  <c r="H22" i="1"/>
  <c r="K21" i="1"/>
  <c r="J21" i="1"/>
  <c r="I21" i="1"/>
  <c r="H21" i="1"/>
  <c r="K20" i="1"/>
  <c r="J20" i="1"/>
  <c r="I20" i="1"/>
  <c r="H20" i="1"/>
  <c r="K19" i="1"/>
  <c r="J19" i="1"/>
  <c r="I19" i="1"/>
  <c r="H19" i="1"/>
  <c r="K18" i="1"/>
  <c r="J18" i="1"/>
  <c r="I18" i="1"/>
  <c r="H18" i="1"/>
  <c r="K17" i="1"/>
  <c r="J17" i="1"/>
  <c r="I17" i="1"/>
  <c r="H17" i="1"/>
  <c r="K16" i="1"/>
  <c r="J16" i="1"/>
  <c r="I16" i="1"/>
  <c r="H16" i="1"/>
  <c r="K15" i="1"/>
  <c r="J15" i="1"/>
  <c r="I15" i="1"/>
  <c r="H15" i="1"/>
  <c r="K14" i="1"/>
  <c r="J14" i="1"/>
  <c r="I14" i="1"/>
  <c r="H14" i="1"/>
  <c r="K13" i="1"/>
  <c r="J13" i="1"/>
  <c r="I13" i="1"/>
  <c r="H13" i="1"/>
  <c r="K12" i="1"/>
  <c r="J12" i="1"/>
  <c r="I12" i="1"/>
  <c r="H12" i="1"/>
  <c r="K11" i="1"/>
  <c r="J11" i="1"/>
  <c r="I11" i="1"/>
  <c r="H11" i="1"/>
  <c r="K10" i="1"/>
  <c r="J10" i="1"/>
  <c r="I10" i="1"/>
  <c r="H10" i="1"/>
  <c r="K9" i="1"/>
  <c r="J9" i="1"/>
  <c r="I9" i="1"/>
  <c r="H9" i="1"/>
  <c r="K8" i="1"/>
  <c r="J8" i="1"/>
  <c r="I8" i="1"/>
  <c r="H8" i="1"/>
  <c r="K7" i="1"/>
  <c r="J7" i="1"/>
  <c r="I7" i="1"/>
  <c r="H7" i="1"/>
  <c r="K6" i="1"/>
  <c r="J6" i="1"/>
  <c r="I6" i="1"/>
  <c r="H6" i="1"/>
  <c r="K5" i="1"/>
  <c r="J5" i="1"/>
  <c r="I5" i="1"/>
  <c r="H5" i="1"/>
  <c r="K4" i="1"/>
  <c r="J4" i="1"/>
  <c r="I4" i="1"/>
  <c r="H4" i="1"/>
  <c r="K3" i="1"/>
  <c r="J3" i="1"/>
  <c r="I3" i="1"/>
  <c r="H3" i="1"/>
  <c r="L2" i="1"/>
  <c r="K2" i="1"/>
  <c r="J2" i="1"/>
  <c r="I2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DarwiN Diaz</author>
  </authors>
  <commentList>
    <comment ref="I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DarwiN Diaz:</t>
        </r>
        <r>
          <rPr>
            <sz val="9"/>
            <color indexed="81"/>
            <rFont val="Tahoma"/>
            <family val="2"/>
          </rPr>
          <t xml:space="preserve">
zona en donde reside el paciente:
Rural
Urbano</t>
        </r>
      </text>
    </comment>
  </commentList>
</comments>
</file>

<file path=xl/sharedStrings.xml><?xml version="1.0" encoding="utf-8"?>
<sst xmlns="http://schemas.openxmlformats.org/spreadsheetml/2006/main" count="276" uniqueCount="77">
  <si>
    <t>tID</t>
  </si>
  <si>
    <t>numDocumento</t>
  </si>
  <si>
    <t>PaisOrigen</t>
  </si>
  <si>
    <t>Nombres</t>
  </si>
  <si>
    <t>Apellidos</t>
  </si>
  <si>
    <t>fechaNacimiento</t>
  </si>
  <si>
    <t>sexo</t>
  </si>
  <si>
    <t>MunicipioResidencia</t>
  </si>
  <si>
    <t>ZonaResidencia</t>
  </si>
  <si>
    <t>causaMotivoAtencion</t>
  </si>
  <si>
    <t>codServicio</t>
  </si>
  <si>
    <t>finalidadEn Tecnologia</t>
  </si>
  <si>
    <t>cups</t>
  </si>
  <si>
    <t>cie10Principal</t>
  </si>
  <si>
    <t>Cie10Secundadio</t>
  </si>
  <si>
    <t>fechaHoraAtencion</t>
  </si>
  <si>
    <t>CC</t>
  </si>
  <si>
    <t>COLOMBIA</t>
  </si>
  <si>
    <t>MARIA VICTORIA</t>
  </si>
  <si>
    <t>GONZALEZ NEUTA</t>
  </si>
  <si>
    <t>F</t>
  </si>
  <si>
    <t>K029</t>
  </si>
  <si>
    <t>JULIAN EXENOBEL</t>
  </si>
  <si>
    <t>HERNANDEZ ROMERO</t>
  </si>
  <si>
    <t>M</t>
  </si>
  <si>
    <t>K028</t>
  </si>
  <si>
    <t>FELIX ANTONIO</t>
  </si>
  <si>
    <t>HUERTAS PEDREROS</t>
  </si>
  <si>
    <t>JOSE ORLANDO</t>
  </si>
  <si>
    <t>CASTELLANOS CASTELLANOS</t>
  </si>
  <si>
    <t>K022</t>
  </si>
  <si>
    <t xml:space="preserve">ADRIANA MILENA </t>
  </si>
  <si>
    <t>PINZON VILLALOBOS</t>
  </si>
  <si>
    <t>DORIS</t>
  </si>
  <si>
    <t>AVILA CELIS</t>
  </si>
  <si>
    <t>K068</t>
  </si>
  <si>
    <t xml:space="preserve">MARIA LUISA </t>
  </si>
  <si>
    <t>CANTOR CANTOR</t>
  </si>
  <si>
    <t>Bogotá</t>
  </si>
  <si>
    <t>Urbano</t>
  </si>
  <si>
    <t>334-ODONTOLOGIA GENERAL</t>
  </si>
  <si>
    <t>ARMANDO</t>
  </si>
  <si>
    <t>GAMBA CUBILLOS</t>
  </si>
  <si>
    <t>ALEXANDER</t>
  </si>
  <si>
    <t>ZAMBRANO BARON</t>
  </si>
  <si>
    <t xml:space="preserve">LEONEL </t>
  </si>
  <si>
    <t>REBELLON CANO</t>
  </si>
  <si>
    <t xml:space="preserve">LUZ NELLY </t>
  </si>
  <si>
    <t>AVILA VELASQUEZ</t>
  </si>
  <si>
    <t>JENIFER</t>
  </si>
  <si>
    <t>FIGUEROA CUELLAR</t>
  </si>
  <si>
    <t>K050</t>
  </si>
  <si>
    <t>k022</t>
  </si>
  <si>
    <t>k028</t>
  </si>
  <si>
    <t xml:space="preserve">KAREN JULIETH </t>
  </si>
  <si>
    <t>SUAZO SANCHEZ</t>
  </si>
  <si>
    <t>MANUEL DE JESUS</t>
  </si>
  <si>
    <t>GARCIA ALVARADO</t>
  </si>
  <si>
    <t>MARIA AMPARO</t>
  </si>
  <si>
    <t>BARBOSA GOMEZ</t>
  </si>
  <si>
    <t>NORA ALEXANDRA</t>
  </si>
  <si>
    <t xml:space="preserve">CAMARGO </t>
  </si>
  <si>
    <t>k068</t>
  </si>
  <si>
    <t xml:space="preserve">JOSE               </t>
  </si>
  <si>
    <t>SUAZO MEDINA</t>
  </si>
  <si>
    <t>K010</t>
  </si>
  <si>
    <t>MICHELLE</t>
  </si>
  <si>
    <t>PRADA SANCHEZ</t>
  </si>
  <si>
    <t>LAURA JOHANA</t>
  </si>
  <si>
    <t>CUMACO</t>
  </si>
  <si>
    <t>MARTHA JANETH</t>
  </si>
  <si>
    <t>ALBARRACIN NIÑO</t>
  </si>
  <si>
    <t>RUT JAZMIN</t>
  </si>
  <si>
    <t>CASTELLANOS ESGUERRA</t>
  </si>
  <si>
    <t>K040</t>
  </si>
  <si>
    <t>SORAIDA</t>
  </si>
  <si>
    <t>AVILA VELAZQUEZ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</si>
</sst>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;@"/>
    <numFmt numFmtId="167" formatCode="dd/mm/yyyy\ hh:mm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3F4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1" fillId="4" borderId="1" xfId="0" applyFont="1" applyFill="1" applyBorder="1"/>
    <xf numFmtId="14" fontId="2" fillId="3" borderId="1" xfId="0" applyNumberFormat="1" applyFont="1" applyFill="1" applyBorder="1"/>
    <xf numFmtId="14" fontId="0" fillId="0" borderId="0" xfId="0" applyNumberFormat="1"/>
    <xf numFmtId="0" fontId="0" fillId="5" borderId="1" xfId="0" applyFill="1" applyBorder="1"/>
    <xf numFmtId="0" fontId="5" fillId="0" borderId="1" xfId="0" applyFont="1" applyBorder="1"/>
    <xf numFmtId="0" fontId="6" fillId="0" borderId="1" xfId="0" applyFont="1" applyBorder="1"/>
    <xf numFmtId="14" fontId="6" fillId="0" borderId="1" xfId="0" applyNumberFormat="1" applyFont="1" applyBorder="1"/>
    <xf numFmtId="49" fontId="6" fillId="0" borderId="1" xfId="0" applyNumberFormat="1" applyFont="1" applyBorder="1"/>
    <xf numFmtId="165" fontId="6" fillId="0" borderId="1" xfId="0" applyNumberFormat="1" applyFont="1" applyBorder="1"/>
    <xf numFmtId="0" fontId="7" fillId="0" borderId="1" xfId="0" applyFont="1" applyBorder="1"/>
    <xf numFmtId="0" fontId="2" fillId="0" borderId="0" xfId="0" applyFont="1"/>
    <xf numFmtId="0" fontId="0" fillId="5" borderId="2" xfId="0" applyFill="1" applyBorder="1"/>
    <xf numFmtId="167" fontId="1" fillId="4" borderId="1" xfId="0" applyNumberFormat="1" applyFont="1" applyFill="1" applyBorder="1"/>
    <xf numFmtId="167" fontId="6" fillId="0" borderId="1" xfId="0" applyNumberFormat="1" applyFont="1" applyBorder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ocuments\RIPS\RIPS%202025\SEPTIEMB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stros"/>
      <sheetName val="Referencias"/>
      <sheetName val="SEPTIEMBRE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tabSelected="1" workbookViewId="0">
      <selection activeCell="A2" sqref="A2"/>
    </sheetView>
  </sheetViews>
  <sheetFormatPr baseColWidth="10" defaultRowHeight="15" x14ac:dyDescent="0.25"/>
  <cols>
    <col min="1" max="1" width="5" customWidth="1"/>
    <col min="2" max="2" width="12" style="14" customWidth="1"/>
    <col min="3" max="3" width="13" customWidth="1"/>
    <col min="4" max="4" width="20.5703125" customWidth="1"/>
    <col min="5" max="5" width="31.140625" customWidth="1"/>
    <col min="6" max="6" width="11.5703125" style="6" bestFit="1" customWidth="1"/>
    <col min="7" max="7" width="5" customWidth="1"/>
    <col min="10" max="10" width="40.28515625" customWidth="1"/>
    <col min="11" max="11" width="27" customWidth="1"/>
    <col min="12" max="12" width="19.7109375" customWidth="1"/>
    <col min="13" max="13" width="11.5703125" bestFit="1" customWidth="1"/>
    <col min="16" max="16" width="17.140625" style="18" bestFit="1" customWidth="1"/>
  </cols>
  <sheetData>
    <row r="1" spans="1:17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5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16" t="s">
        <v>15</v>
      </c>
      <c r="Q1" s="3"/>
    </row>
    <row r="2" spans="1:17" x14ac:dyDescent="0.25">
      <c r="A2" s="7" t="s">
        <v>16</v>
      </c>
      <c r="B2" s="13">
        <v>39630861</v>
      </c>
      <c r="C2" s="9" t="s">
        <v>17</v>
      </c>
      <c r="D2" s="9" t="s">
        <v>18</v>
      </c>
      <c r="E2" s="9" t="s">
        <v>19</v>
      </c>
      <c r="F2" s="10">
        <v>22121</v>
      </c>
      <c r="G2" s="9" t="s">
        <v>20</v>
      </c>
      <c r="H2" s="9" t="str">
        <f>IF(NOT(ISBLANK([1]!Tabla32[[#This Row],[tID]])),"Bogotá","")</f>
        <v>Bogotá</v>
      </c>
      <c r="I2" s="9" t="str">
        <f>IF(NOT(ISBLANK([1]!Tabla32[[#This Row],[tID]])),"Urbano","")</f>
        <v>Urbano</v>
      </c>
      <c r="J2" s="9" t="str">
        <f>IF(NOT(ISBLANK([1]!Tabla32[[#This Row],[tID]])),"38-ENFERMEDAD GENERAL","")</f>
        <v>38-ENFERMEDAD GENERAL</v>
      </c>
      <c r="K2" s="9" t="str">
        <f>IF(NOT(ISBLANK([1]!Tabla32[[#This Row],[tID]])),"334-ODONTOLOGIA GENERAL","")</f>
        <v>334-ODONTOLOGIA GENERAL</v>
      </c>
      <c r="L2" s="9" t="str">
        <f>IF(NOT(ISBLANK([1]!Tabla32[[#This Row],[tID]])),"15-DIAGNOSTICO","")</f>
        <v>15-DIAGNOSTICO</v>
      </c>
      <c r="M2" s="9">
        <v>234105</v>
      </c>
      <c r="N2" s="9" t="s">
        <v>21</v>
      </c>
      <c r="O2" s="9"/>
      <c r="P2" s="17">
        <v>45901</v>
      </c>
    </row>
    <row r="3" spans="1:17" x14ac:dyDescent="0.25">
      <c r="A3" s="7" t="s">
        <v>16</v>
      </c>
      <c r="B3" s="8">
        <v>14321107</v>
      </c>
      <c r="C3" s="9" t="s">
        <v>17</v>
      </c>
      <c r="D3" s="9" t="s">
        <v>22</v>
      </c>
      <c r="E3" s="9" t="s">
        <v>23</v>
      </c>
      <c r="F3" s="10">
        <v>25020</v>
      </c>
      <c r="G3" s="9" t="s">
        <v>24</v>
      </c>
      <c r="H3" s="9" t="str">
        <f>IF(NOT(ISBLANK([1]!Tabla32[[#This Row],[tID]])),"Bogotá","")</f>
        <v>Bogotá</v>
      </c>
      <c r="I3" s="9" t="str">
        <f>IF(NOT(ISBLANK([1]!Tabla32[[#This Row],[tID]])),"Urbano","")</f>
        <v>Urbano</v>
      </c>
      <c r="J3" s="9" t="str">
        <f>IF(NOT(ISBLANK([1]!Tabla32[[#This Row],[tID]])),"38-ENFERMEDAD GENERAL","")</f>
        <v>38-ENFERMEDAD GENERAL</v>
      </c>
      <c r="K3" s="9" t="str">
        <f>IF(NOT(ISBLANK([1]!Tabla32[[#This Row],[tID]])),"334-ODONTOLOGIA GENERAL","")</f>
        <v>334-ODONTOLOGIA GENERAL</v>
      </c>
      <c r="L3" s="9" t="str">
        <f>IF(NOT(ISBLANK([1]!Tabla32[[#This Row],[tID]])),"15-DIAGNOSTICO","")</f>
        <v>15-DIAGNOSTICO</v>
      </c>
      <c r="M3" s="9">
        <v>230101</v>
      </c>
      <c r="N3" s="9" t="s">
        <v>25</v>
      </c>
      <c r="O3" s="9"/>
      <c r="P3" s="17">
        <v>45902.375</v>
      </c>
    </row>
    <row r="4" spans="1:17" x14ac:dyDescent="0.25">
      <c r="A4" s="7" t="s">
        <v>16</v>
      </c>
      <c r="B4" s="8">
        <v>4089798</v>
      </c>
      <c r="C4" s="9" t="s">
        <v>17</v>
      </c>
      <c r="D4" s="9" t="s">
        <v>26</v>
      </c>
      <c r="E4" s="9" t="s">
        <v>27</v>
      </c>
      <c r="F4" s="10">
        <v>16255</v>
      </c>
      <c r="G4" s="9" t="s">
        <v>24</v>
      </c>
      <c r="H4" s="9" t="str">
        <f>IF(NOT(ISBLANK([1]!Tabla32[[#This Row],[tID]])),"Bogotá","")</f>
        <v>Bogotá</v>
      </c>
      <c r="I4" s="9" t="str">
        <f>IF(NOT(ISBLANK([1]!Tabla32[[#This Row],[tID]])),"Urbano","")</f>
        <v>Urbano</v>
      </c>
      <c r="J4" s="9" t="str">
        <f>IF(NOT(ISBLANK([1]!Tabla32[[#This Row],[tID]])),"38-ENFERMEDAD GENERAL","")</f>
        <v>38-ENFERMEDAD GENERAL</v>
      </c>
      <c r="K4" s="9" t="str">
        <f>IF(NOT(ISBLANK([1]!Tabla32[[#This Row],[tID]])),"334-ODONTOLOGIA GENERAL","")</f>
        <v>334-ODONTOLOGIA GENERAL</v>
      </c>
      <c r="L4" s="9" t="str">
        <f>IF(NOT(ISBLANK([1]!Tabla32[[#This Row],[tID]])),"15-DIAGNOSTICO","")</f>
        <v>15-DIAGNOSTICO</v>
      </c>
      <c r="M4" s="9">
        <v>230102</v>
      </c>
      <c r="N4" s="9" t="s">
        <v>25</v>
      </c>
      <c r="O4" s="9"/>
      <c r="P4" s="17">
        <v>45902.416666666664</v>
      </c>
    </row>
    <row r="5" spans="1:17" x14ac:dyDescent="0.25">
      <c r="A5" s="7" t="s">
        <v>16</v>
      </c>
      <c r="B5" s="13">
        <v>1124336</v>
      </c>
      <c r="C5" s="9" t="s">
        <v>17</v>
      </c>
      <c r="D5" s="9" t="s">
        <v>28</v>
      </c>
      <c r="E5" s="9" t="s">
        <v>29</v>
      </c>
      <c r="F5" s="10">
        <v>21538</v>
      </c>
      <c r="G5" s="9" t="s">
        <v>24</v>
      </c>
      <c r="H5" s="9" t="str">
        <f>IF(NOT(ISBLANK([1]!Tabla32[[#This Row],[tID]])),"Bogotá","")</f>
        <v>Bogotá</v>
      </c>
      <c r="I5" s="9" t="str">
        <f>IF(NOT(ISBLANK([1]!Tabla32[[#This Row],[tID]])),"Urbano","")</f>
        <v>Urbano</v>
      </c>
      <c r="J5" s="9" t="str">
        <f>IF(NOT(ISBLANK([1]!Tabla32[[#This Row],[tID]])),"38-ENFERMEDAD GENERAL","")</f>
        <v>38-ENFERMEDAD GENERAL</v>
      </c>
      <c r="K5" s="9" t="str">
        <f>IF(NOT(ISBLANK([1]!Tabla32[[#This Row],[tID]])),"334-ODONTOLOGIA GENERAL","")</f>
        <v>334-ODONTOLOGIA GENERAL</v>
      </c>
      <c r="L5" s="9" t="str">
        <f>IF(NOT(ISBLANK([1]!Tabla32[[#This Row],[tID]])),"15-DIAGNOSTICO","")</f>
        <v>15-DIAGNOSTICO</v>
      </c>
      <c r="M5" s="9">
        <v>232102</v>
      </c>
      <c r="N5" s="9" t="s">
        <v>30</v>
      </c>
      <c r="O5" s="9"/>
      <c r="P5" s="17">
        <v>45903.458333333336</v>
      </c>
    </row>
    <row r="6" spans="1:17" x14ac:dyDescent="0.25">
      <c r="A6" s="7" t="s">
        <v>16</v>
      </c>
      <c r="B6" s="8">
        <v>52761875</v>
      </c>
      <c r="C6" s="9" t="s">
        <v>17</v>
      </c>
      <c r="D6" s="9" t="s">
        <v>31</v>
      </c>
      <c r="E6" s="9" t="s">
        <v>32</v>
      </c>
      <c r="F6" s="10">
        <v>30815</v>
      </c>
      <c r="G6" s="9" t="s">
        <v>20</v>
      </c>
      <c r="H6" s="9" t="str">
        <f>IF(NOT(ISBLANK([1]!Tabla32[[#This Row],[tID]])),"Bogotá","")</f>
        <v>Bogotá</v>
      </c>
      <c r="I6" s="9" t="str">
        <f>IF(NOT(ISBLANK([1]!Tabla32[[#This Row],[tID]])),"Urbano","")</f>
        <v>Urbano</v>
      </c>
      <c r="J6" s="9" t="str">
        <f>IF(NOT(ISBLANK([1]!Tabla32[[#This Row],[tID]])),"38-ENFERMEDAD GENERAL","")</f>
        <v>38-ENFERMEDAD GENERAL</v>
      </c>
      <c r="K6" s="9" t="str">
        <f>IF(NOT(ISBLANK([1]!Tabla32[[#This Row],[tID]])),"334-ODONTOLOGIA GENERAL","")</f>
        <v>334-ODONTOLOGIA GENERAL</v>
      </c>
      <c r="L6" s="9" t="str">
        <f>IF(NOT(ISBLANK([1]!Tabla32[[#This Row],[tID]])),"15-DIAGNOSTICO","")</f>
        <v>15-DIAGNOSTICO</v>
      </c>
      <c r="M6" s="9">
        <v>232102</v>
      </c>
      <c r="N6" s="9" t="s">
        <v>30</v>
      </c>
      <c r="O6" s="9"/>
      <c r="P6" s="17">
        <v>45903.083333333336</v>
      </c>
    </row>
    <row r="7" spans="1:17" x14ac:dyDescent="0.25">
      <c r="A7" s="7" t="s">
        <v>16</v>
      </c>
      <c r="B7" s="8">
        <v>52122588</v>
      </c>
      <c r="C7" s="9" t="s">
        <v>17</v>
      </c>
      <c r="D7" s="9" t="s">
        <v>33</v>
      </c>
      <c r="E7" s="9" t="s">
        <v>34</v>
      </c>
      <c r="F7" s="10">
        <v>26892</v>
      </c>
      <c r="G7" s="9" t="s">
        <v>20</v>
      </c>
      <c r="H7" s="9" t="str">
        <f>IF(NOT(ISBLANK([1]!Tabla32[[#This Row],[tID]])),"Bogotá","")</f>
        <v>Bogotá</v>
      </c>
      <c r="I7" s="9" t="str">
        <f>IF(NOT(ISBLANK([1]!Tabla32[[#This Row],[tID]])),"Urbano","")</f>
        <v>Urbano</v>
      </c>
      <c r="J7" s="9" t="str">
        <f>IF(NOT(ISBLANK([1]!Tabla32[[#This Row],[tID]])),"38-ENFERMEDAD GENERAL","")</f>
        <v>38-ENFERMEDAD GENERAL</v>
      </c>
      <c r="K7" s="9" t="str">
        <f>IF(NOT(ISBLANK([1]!Tabla32[[#This Row],[tID]])),"334-ODONTOLOGIA GENERAL","")</f>
        <v>334-ODONTOLOGIA GENERAL</v>
      </c>
      <c r="L7" s="9" t="str">
        <f>IF(NOT(ISBLANK([1]!Tabla32[[#This Row],[tID]])),"15-DIAGNOSTICO","")</f>
        <v>15-DIAGNOSTICO</v>
      </c>
      <c r="M7" s="9">
        <v>234301</v>
      </c>
      <c r="N7" s="9" t="s">
        <v>35</v>
      </c>
      <c r="O7" s="9"/>
      <c r="P7" s="17">
        <v>45904.458333333336</v>
      </c>
    </row>
    <row r="8" spans="1:17" x14ac:dyDescent="0.25">
      <c r="A8" s="7" t="s">
        <v>16</v>
      </c>
      <c r="B8" s="8">
        <v>39638111</v>
      </c>
      <c r="C8" s="9" t="s">
        <v>17</v>
      </c>
      <c r="D8" s="9" t="s">
        <v>36</v>
      </c>
      <c r="E8" s="9" t="s">
        <v>37</v>
      </c>
      <c r="F8" s="10">
        <v>24252</v>
      </c>
      <c r="G8" s="9" t="s">
        <v>20</v>
      </c>
      <c r="H8" s="9" t="str">
        <f>IF(NOT(ISBLANK([1]!Tabla32[[#This Row],[tID]])),"Bogotá","")</f>
        <v>Bogotá</v>
      </c>
      <c r="I8" s="9" t="str">
        <f>IF(NOT(ISBLANK([1]!Tabla32[[#This Row],[tID]])),"Urbano","")</f>
        <v>Urbano</v>
      </c>
      <c r="J8" s="9" t="str">
        <f>IF(NOT(ISBLANK([1]!Tabla32[[#This Row],[tID]])),"38-ENFERMEDAD GENERAL","")</f>
        <v>38-ENFERMEDAD GENERAL</v>
      </c>
      <c r="K8" s="9" t="str">
        <f>IF(NOT(ISBLANK([1]!Tabla32[[#This Row],[tID]])),"334-ODONTOLOGIA GENERAL","")</f>
        <v>334-ODONTOLOGIA GENERAL</v>
      </c>
      <c r="L8" s="9" t="str">
        <f>IF(NOT(ISBLANK([1]!Tabla32[[#This Row],[tID]])),"15-DIAGNOSTICO","")</f>
        <v>15-DIAGNOSTICO</v>
      </c>
      <c r="M8" s="9">
        <v>232102</v>
      </c>
      <c r="N8" s="9" t="s">
        <v>30</v>
      </c>
      <c r="O8" s="9"/>
      <c r="P8" s="17">
        <v>45905.416666666664</v>
      </c>
    </row>
    <row r="9" spans="1:17" x14ac:dyDescent="0.25">
      <c r="A9" s="7" t="s">
        <v>16</v>
      </c>
      <c r="B9" s="8">
        <v>4089798</v>
      </c>
      <c r="C9" s="9" t="s">
        <v>17</v>
      </c>
      <c r="D9" s="9" t="s">
        <v>26</v>
      </c>
      <c r="E9" s="9" t="s">
        <v>27</v>
      </c>
      <c r="F9" s="10">
        <v>16255</v>
      </c>
      <c r="G9" s="9" t="s">
        <v>24</v>
      </c>
      <c r="H9" s="9" t="str">
        <f>IF(NOT(ISBLANK([1]!Tabla32[[#This Row],[tID]])),"Bogotá","")</f>
        <v>Bogotá</v>
      </c>
      <c r="I9" s="9" t="str">
        <f>IF(NOT(ISBLANK([1]!Tabla32[[#This Row],[tID]])),"Urbano","")</f>
        <v>Urbano</v>
      </c>
      <c r="J9" s="9" t="str">
        <f>IF(NOT(ISBLANK([1]!Tabla32[[#This Row],[tID]])),"38-ENFERMEDAD GENERAL","")</f>
        <v>38-ENFERMEDAD GENERAL</v>
      </c>
      <c r="K9" s="9" t="str">
        <f>IF(NOT(ISBLANK([1]!Tabla32[[#This Row],[tID]])),"334-ODONTOLOGIA GENERAL","")</f>
        <v>334-ODONTOLOGIA GENERAL</v>
      </c>
      <c r="L9" s="9" t="str">
        <f>IF(NOT(ISBLANK([1]!Tabla32[[#This Row],[tID]])),"15-DIAGNOSTICO","")</f>
        <v>15-DIAGNOSTICO</v>
      </c>
      <c r="M9" s="9">
        <v>230102</v>
      </c>
      <c r="N9" s="9" t="s">
        <v>25</v>
      </c>
      <c r="O9" s="9"/>
      <c r="P9" s="17">
        <v>45905.041666666664</v>
      </c>
    </row>
    <row r="10" spans="1:17" x14ac:dyDescent="0.25">
      <c r="A10" s="7" t="s">
        <v>16</v>
      </c>
      <c r="B10" s="8">
        <v>17115610</v>
      </c>
      <c r="C10" s="9" t="s">
        <v>17</v>
      </c>
      <c r="D10" s="9" t="s">
        <v>41</v>
      </c>
      <c r="E10" s="9" t="s">
        <v>42</v>
      </c>
      <c r="F10" s="10">
        <v>16221</v>
      </c>
      <c r="G10" s="9" t="s">
        <v>24</v>
      </c>
      <c r="H10" s="9" t="str">
        <f>IF(NOT(ISBLANK([1]!Tabla32[[#This Row],[tID]])),"Bogotá","")</f>
        <v>Bogotá</v>
      </c>
      <c r="I10" s="9" t="str">
        <f>IF(NOT(ISBLANK([1]!Tabla32[[#This Row],[tID]])),"Urbano","")</f>
        <v>Urbano</v>
      </c>
      <c r="J10" s="9" t="str">
        <f>IF(NOT(ISBLANK([1]!Tabla32[[#This Row],[tID]])),"38-ENFERMEDAD GENERAL","")</f>
        <v>38-ENFERMEDAD GENERAL</v>
      </c>
      <c r="K10" s="9" t="str">
        <f>IF(NOT(ISBLANK([1]!Tabla32[[#This Row],[tID]])),"334-ODONTOLOGIA GENERAL","")</f>
        <v>334-ODONTOLOGIA GENERAL</v>
      </c>
      <c r="L10" s="9" t="str">
        <f>IF(NOT(ISBLANK([1]!Tabla32[[#This Row],[tID]])),"15-DIAGNOSTICO","")</f>
        <v>15-DIAGNOSTICO</v>
      </c>
      <c r="M10" s="9">
        <v>232102</v>
      </c>
      <c r="N10" s="9" t="s">
        <v>30</v>
      </c>
      <c r="O10" s="9"/>
      <c r="P10" s="17">
        <v>45906.375</v>
      </c>
    </row>
    <row r="11" spans="1:17" x14ac:dyDescent="0.25">
      <c r="A11" s="7" t="s">
        <v>16</v>
      </c>
      <c r="B11" s="13">
        <v>1124336</v>
      </c>
      <c r="C11" s="9" t="s">
        <v>17</v>
      </c>
      <c r="D11" s="9" t="s">
        <v>28</v>
      </c>
      <c r="E11" s="9" t="s">
        <v>29</v>
      </c>
      <c r="F11" s="10">
        <v>21538</v>
      </c>
      <c r="G11" s="9" t="s">
        <v>24</v>
      </c>
      <c r="H11" s="9" t="str">
        <f>IF(NOT(ISBLANK([1]!Tabla32[[#This Row],[tID]])),"Bogotá","")</f>
        <v>Bogotá</v>
      </c>
      <c r="I11" s="9" t="str">
        <f>IF(NOT(ISBLANK([1]!Tabla32[[#This Row],[tID]])),"Urbano","")</f>
        <v>Urbano</v>
      </c>
      <c r="J11" s="9" t="str">
        <f>IF(NOT(ISBLANK([1]!Tabla32[[#This Row],[tID]])),"38-ENFERMEDAD GENERAL","")</f>
        <v>38-ENFERMEDAD GENERAL</v>
      </c>
      <c r="K11" s="9" t="str">
        <f>IF(NOT(ISBLANK([1]!Tabla32[[#This Row],[tID]])),"334-ODONTOLOGIA GENERAL","")</f>
        <v>334-ODONTOLOGIA GENERAL</v>
      </c>
      <c r="L11" s="9" t="str">
        <f>IF(NOT(ISBLANK([1]!Tabla32[[#This Row],[tID]])),"15-DIAGNOSTICO","")</f>
        <v>15-DIAGNOSTICO</v>
      </c>
      <c r="M11" s="9">
        <v>232102</v>
      </c>
      <c r="N11" s="9" t="s">
        <v>30</v>
      </c>
      <c r="O11" s="9"/>
      <c r="P11" s="17">
        <v>45908.416666666664</v>
      </c>
    </row>
    <row r="12" spans="1:17" x14ac:dyDescent="0.25">
      <c r="A12" s="7" t="s">
        <v>16</v>
      </c>
      <c r="B12" s="8">
        <v>6804606</v>
      </c>
      <c r="C12" s="9" t="s">
        <v>17</v>
      </c>
      <c r="D12" s="9" t="s">
        <v>43</v>
      </c>
      <c r="E12" s="9" t="s">
        <v>44</v>
      </c>
      <c r="F12" s="10">
        <v>30602</v>
      </c>
      <c r="G12" s="9" t="s">
        <v>24</v>
      </c>
      <c r="H12" s="9" t="str">
        <f>IF(NOT(ISBLANK([1]!Tabla32[[#This Row],[tID]])),"Bogotá","")</f>
        <v>Bogotá</v>
      </c>
      <c r="I12" s="9" t="str">
        <f>IF(NOT(ISBLANK([1]!Tabla32[[#This Row],[tID]])),"Urbano","")</f>
        <v>Urbano</v>
      </c>
      <c r="J12" s="9" t="str">
        <f>IF(NOT(ISBLANK([1]!Tabla32[[#This Row],[tID]])),"38-ENFERMEDAD GENERAL","")</f>
        <v>38-ENFERMEDAD GENERAL</v>
      </c>
      <c r="K12" s="9" t="str">
        <f>IF(NOT(ISBLANK([1]!Tabla32[[#This Row],[tID]])),"334-ODONTOLOGIA GENERAL","")</f>
        <v>334-ODONTOLOGIA GENERAL</v>
      </c>
      <c r="L12" s="9" t="str">
        <f>IF(NOT(ISBLANK([1]!Tabla32[[#This Row],[tID]])),"15-DIAGNOSTICO","")</f>
        <v>15-DIAGNOSTICO</v>
      </c>
      <c r="M12" s="9">
        <v>230102</v>
      </c>
      <c r="N12" s="9" t="s">
        <v>25</v>
      </c>
      <c r="O12" s="9"/>
      <c r="P12" s="17">
        <v>45908.083333333336</v>
      </c>
    </row>
    <row r="13" spans="1:17" x14ac:dyDescent="0.25">
      <c r="A13" s="7" t="s">
        <v>16</v>
      </c>
      <c r="B13" s="8">
        <v>52122588</v>
      </c>
      <c r="C13" s="9" t="s">
        <v>17</v>
      </c>
      <c r="D13" s="9" t="s">
        <v>33</v>
      </c>
      <c r="E13" s="9" t="s">
        <v>34</v>
      </c>
      <c r="F13" s="10">
        <v>26892</v>
      </c>
      <c r="G13" s="9" t="s">
        <v>20</v>
      </c>
      <c r="H13" s="9" t="str">
        <f>IF(NOT(ISBLANK([1]!Tabla32[[#This Row],[tID]])),"Bogotá","")</f>
        <v>Bogotá</v>
      </c>
      <c r="I13" s="9" t="str">
        <f>IF(NOT(ISBLANK([1]!Tabla32[[#This Row],[tID]])),"Urbano","")</f>
        <v>Urbano</v>
      </c>
      <c r="J13" s="9" t="str">
        <f>IF(NOT(ISBLANK([1]!Tabla32[[#This Row],[tID]])),"38-ENFERMEDAD GENERAL","")</f>
        <v>38-ENFERMEDAD GENERAL</v>
      </c>
      <c r="K13" s="9" t="str">
        <f>IF(NOT(ISBLANK([1]!Tabla32[[#This Row],[tID]])),"334-ODONTOLOGIA GENERAL","")</f>
        <v>334-ODONTOLOGIA GENERAL</v>
      </c>
      <c r="L13" s="9" t="str">
        <f>IF(NOT(ISBLANK([1]!Tabla32[[#This Row],[tID]])),"15-DIAGNOSTICO","")</f>
        <v>15-DIAGNOSTICO</v>
      </c>
      <c r="M13" s="9">
        <v>234301</v>
      </c>
      <c r="N13" s="9" t="s">
        <v>35</v>
      </c>
      <c r="O13" s="9"/>
      <c r="P13" s="17">
        <v>45909.458333333336</v>
      </c>
    </row>
    <row r="14" spans="1:17" x14ac:dyDescent="0.25">
      <c r="A14" s="7" t="s">
        <v>16</v>
      </c>
      <c r="B14" s="8">
        <v>6237242</v>
      </c>
      <c r="C14" s="9" t="s">
        <v>17</v>
      </c>
      <c r="D14" s="9" t="s">
        <v>45</v>
      </c>
      <c r="E14" s="9" t="s">
        <v>46</v>
      </c>
      <c r="F14" s="10">
        <v>15543</v>
      </c>
      <c r="G14" s="9" t="s">
        <v>24</v>
      </c>
      <c r="H14" s="9" t="str">
        <f>IF(NOT(ISBLANK([1]!Tabla32[[#This Row],[tID]])),"Bogotá","")</f>
        <v>Bogotá</v>
      </c>
      <c r="I14" s="9" t="str">
        <f>IF(NOT(ISBLANK([1]!Tabla32[[#This Row],[tID]])),"Urbano","")</f>
        <v>Urbano</v>
      </c>
      <c r="J14" s="9" t="str">
        <f>IF(NOT(ISBLANK([1]!Tabla32[[#This Row],[tID]])),"38-ENFERMEDAD GENERAL","")</f>
        <v>38-ENFERMEDAD GENERAL</v>
      </c>
      <c r="K14" s="9" t="str">
        <f>IF(NOT(ISBLANK([1]!Tabla32[[#This Row],[tID]])),"334-ODONTOLOGIA GENERAL","")</f>
        <v>334-ODONTOLOGIA GENERAL</v>
      </c>
      <c r="L14" s="9" t="str">
        <f>IF(NOT(ISBLANK([1]!Tabla32[[#This Row],[tID]])),"15-DIAGNOSTICO","")</f>
        <v>15-DIAGNOSTICO</v>
      </c>
      <c r="M14" s="9">
        <v>232102</v>
      </c>
      <c r="N14" s="9" t="s">
        <v>30</v>
      </c>
      <c r="O14" s="9"/>
      <c r="P14" s="17">
        <v>45910.416666666664</v>
      </c>
    </row>
    <row r="15" spans="1:17" x14ac:dyDescent="0.25">
      <c r="A15" s="7" t="s">
        <v>16</v>
      </c>
      <c r="B15" s="8">
        <v>39639211</v>
      </c>
      <c r="C15" s="9" t="s">
        <v>17</v>
      </c>
      <c r="D15" s="9" t="s">
        <v>47</v>
      </c>
      <c r="E15" s="9" t="s">
        <v>48</v>
      </c>
      <c r="F15" s="10">
        <v>23682</v>
      </c>
      <c r="G15" s="9" t="s">
        <v>20</v>
      </c>
      <c r="H15" s="9" t="str">
        <f>IF(NOT(ISBLANK([1]!Tabla32[[#This Row],[tID]])),"Bogotá","")</f>
        <v>Bogotá</v>
      </c>
      <c r="I15" s="9" t="str">
        <f>IF(NOT(ISBLANK([1]!Tabla32[[#This Row],[tID]])),"Urbano","")</f>
        <v>Urbano</v>
      </c>
      <c r="J15" s="9" t="str">
        <f>IF(NOT(ISBLANK([1]!Tabla32[[#This Row],[tID]])),"38-ENFERMEDAD GENERAL","")</f>
        <v>38-ENFERMEDAD GENERAL</v>
      </c>
      <c r="K15" s="9" t="str">
        <f>IF(NOT(ISBLANK([1]!Tabla32[[#This Row],[tID]])),"334-ODONTOLOGIA GENERAL","")</f>
        <v>334-ODONTOLOGIA GENERAL</v>
      </c>
      <c r="L15" s="9" t="str">
        <f>IF(NOT(ISBLANK([1]!Tabla32[[#This Row],[tID]])),"15-DIAGNOSTICO","")</f>
        <v>15-DIAGNOSTICO</v>
      </c>
      <c r="M15" s="9">
        <v>232102</v>
      </c>
      <c r="N15" s="9" t="s">
        <v>30</v>
      </c>
      <c r="O15" s="9"/>
      <c r="P15" s="17">
        <v>45910.5</v>
      </c>
    </row>
    <row r="16" spans="1:17" x14ac:dyDescent="0.25">
      <c r="A16" s="7" t="s">
        <v>16</v>
      </c>
      <c r="B16" s="8">
        <v>1012361251</v>
      </c>
      <c r="C16" s="9" t="s">
        <v>17</v>
      </c>
      <c r="D16" s="9" t="s">
        <v>49</v>
      </c>
      <c r="E16" s="9" t="s">
        <v>50</v>
      </c>
      <c r="F16" s="10">
        <v>32889</v>
      </c>
      <c r="G16" s="9" t="s">
        <v>20</v>
      </c>
      <c r="H16" s="9" t="str">
        <f>IF(NOT(ISBLANK([1]!Tabla32[[#This Row],[tID]])),"Bogotá","")</f>
        <v>Bogotá</v>
      </c>
      <c r="I16" s="9" t="str">
        <f>IF(NOT(ISBLANK([1]!Tabla32[[#This Row],[tID]])),"Urbano","")</f>
        <v>Urbano</v>
      </c>
      <c r="J16" s="9" t="str">
        <f>IF(NOT(ISBLANK([1]!Tabla32[[#This Row],[tID]])),"38-ENFERMEDAD GENERAL","")</f>
        <v>38-ENFERMEDAD GENERAL</v>
      </c>
      <c r="K16" s="9" t="str">
        <f>IF(NOT(ISBLANK([1]!Tabla32[[#This Row],[tID]])),"334-ODONTOLOGIA GENERAL","")</f>
        <v>334-ODONTOLOGIA GENERAL</v>
      </c>
      <c r="L16" s="9" t="str">
        <f>IF(NOT(ISBLANK([1]!Tabla32[[#This Row],[tID]])),"15-DIAGNOSTICO","")</f>
        <v>15-DIAGNOSTICO</v>
      </c>
      <c r="M16" s="9">
        <v>997001</v>
      </c>
      <c r="N16" s="9" t="s">
        <v>51</v>
      </c>
      <c r="O16" s="9"/>
      <c r="P16" s="17">
        <v>45910.083333333336</v>
      </c>
    </row>
    <row r="17" spans="1:16" x14ac:dyDescent="0.25">
      <c r="A17" s="7" t="s">
        <v>16</v>
      </c>
      <c r="B17" s="13">
        <v>1124336</v>
      </c>
      <c r="C17" s="9" t="s">
        <v>17</v>
      </c>
      <c r="D17" s="9" t="s">
        <v>28</v>
      </c>
      <c r="E17" s="9" t="s">
        <v>29</v>
      </c>
      <c r="F17" s="10">
        <v>21538</v>
      </c>
      <c r="G17" s="9" t="s">
        <v>24</v>
      </c>
      <c r="H17" s="9" t="str">
        <f>IF(NOT(ISBLANK([1]!Tabla32[[#This Row],[tID]])),"Bogotá","")</f>
        <v>Bogotá</v>
      </c>
      <c r="I17" s="9" t="str">
        <f>IF(NOT(ISBLANK([1]!Tabla32[[#This Row],[tID]])),"Urbano","")</f>
        <v>Urbano</v>
      </c>
      <c r="J17" s="9" t="str">
        <f>IF(NOT(ISBLANK([1]!Tabla32[[#This Row],[tID]])),"38-ENFERMEDAD GENERAL","")</f>
        <v>38-ENFERMEDAD GENERAL</v>
      </c>
      <c r="K17" s="9" t="str">
        <f>IF(NOT(ISBLANK([1]!Tabla32[[#This Row],[tID]])),"334-ODONTOLOGIA GENERAL","")</f>
        <v>334-ODONTOLOGIA GENERAL</v>
      </c>
      <c r="L17" s="9" t="str">
        <f>IF(NOT(ISBLANK([1]!Tabla32[[#This Row],[tID]])),"15-DIAGNOSTICO","")</f>
        <v>15-DIAGNOSTICO</v>
      </c>
      <c r="M17" s="9">
        <v>232102</v>
      </c>
      <c r="N17" s="9" t="s">
        <v>30</v>
      </c>
      <c r="O17" s="9"/>
      <c r="P17" s="17">
        <v>45911.458333333336</v>
      </c>
    </row>
    <row r="18" spans="1:16" x14ac:dyDescent="0.25">
      <c r="A18" s="7" t="s">
        <v>16</v>
      </c>
      <c r="B18" s="8">
        <v>6237242</v>
      </c>
      <c r="C18" s="9" t="s">
        <v>17</v>
      </c>
      <c r="D18" s="9" t="s">
        <v>45</v>
      </c>
      <c r="E18" s="9" t="s">
        <v>46</v>
      </c>
      <c r="F18" s="10">
        <v>15543</v>
      </c>
      <c r="G18" s="9" t="s">
        <v>24</v>
      </c>
      <c r="H18" s="9" t="str">
        <f>IF(NOT(ISBLANK([1]!Tabla32[[#This Row],[tID]])),"Bogotá","")</f>
        <v>Bogotá</v>
      </c>
      <c r="I18" s="9" t="str">
        <f>IF(NOT(ISBLANK([1]!Tabla32[[#This Row],[tID]])),"Urbano","")</f>
        <v>Urbano</v>
      </c>
      <c r="J18" s="9" t="str">
        <f>IF(NOT(ISBLANK([1]!Tabla32[[#This Row],[tID]])),"38-ENFERMEDAD GENERAL","")</f>
        <v>38-ENFERMEDAD GENERAL</v>
      </c>
      <c r="K18" s="9" t="str">
        <f>IF(NOT(ISBLANK([1]!Tabla32[[#This Row],[tID]])),"334-ODONTOLOGIA GENERAL","")</f>
        <v>334-ODONTOLOGIA GENERAL</v>
      </c>
      <c r="L18" s="9" t="str">
        <f>IF(NOT(ISBLANK([1]!Tabla32[[#This Row],[tID]])),"15-DIAGNOSTICO","")</f>
        <v>15-DIAGNOSTICO</v>
      </c>
      <c r="M18" s="9">
        <v>232102</v>
      </c>
      <c r="N18" s="9" t="s">
        <v>52</v>
      </c>
      <c r="O18" s="9"/>
      <c r="P18" s="17">
        <v>45912.416666666664</v>
      </c>
    </row>
    <row r="19" spans="1:16" x14ac:dyDescent="0.25">
      <c r="A19" s="7" t="s">
        <v>16</v>
      </c>
      <c r="B19" s="8">
        <v>14321107</v>
      </c>
      <c r="C19" s="9" t="s">
        <v>17</v>
      </c>
      <c r="D19" s="9" t="s">
        <v>22</v>
      </c>
      <c r="E19" s="9" t="s">
        <v>23</v>
      </c>
      <c r="F19" s="10">
        <v>25020</v>
      </c>
      <c r="G19" s="9" t="s">
        <v>24</v>
      </c>
      <c r="H19" s="9" t="str">
        <f>IF(NOT(ISBLANK([1]!Tabla32[[#This Row],[tID]])),"Bogotá","")</f>
        <v>Bogotá</v>
      </c>
      <c r="I19" s="9" t="str">
        <f>IF(NOT(ISBLANK([1]!Tabla32[[#This Row],[tID]])),"Urbano","")</f>
        <v>Urbano</v>
      </c>
      <c r="J19" s="9" t="str">
        <f>IF(NOT(ISBLANK([1]!Tabla32[[#This Row],[tID]])),"38-ENFERMEDAD GENERAL","")</f>
        <v>38-ENFERMEDAD GENERAL</v>
      </c>
      <c r="K19" s="9" t="str">
        <f>IF(NOT(ISBLANK([1]!Tabla32[[#This Row],[tID]])),"334-ODONTOLOGIA GENERAL","")</f>
        <v>334-ODONTOLOGIA GENERAL</v>
      </c>
      <c r="L19" s="9" t="str">
        <f>IF(NOT(ISBLANK([1]!Tabla32[[#This Row],[tID]])),"15-DIAGNOSTICO","")</f>
        <v>15-DIAGNOSTICO</v>
      </c>
      <c r="M19" s="9">
        <v>230102</v>
      </c>
      <c r="N19" s="9" t="s">
        <v>53</v>
      </c>
      <c r="O19" s="9"/>
      <c r="P19" s="17">
        <v>45912.5</v>
      </c>
    </row>
    <row r="20" spans="1:16" x14ac:dyDescent="0.25">
      <c r="A20" s="7" t="s">
        <v>16</v>
      </c>
      <c r="B20" s="8">
        <v>52122588</v>
      </c>
      <c r="C20" s="9" t="s">
        <v>17</v>
      </c>
      <c r="D20" s="9" t="s">
        <v>33</v>
      </c>
      <c r="E20" s="9" t="s">
        <v>34</v>
      </c>
      <c r="F20" s="10">
        <v>26892</v>
      </c>
      <c r="G20" s="9" t="s">
        <v>20</v>
      </c>
      <c r="H20" s="9" t="str">
        <f>IF(NOT(ISBLANK([1]!Tabla32[[#This Row],[tID]])),"Bogotá","")</f>
        <v>Bogotá</v>
      </c>
      <c r="I20" s="9" t="str">
        <f>IF(NOT(ISBLANK([1]!Tabla32[[#This Row],[tID]])),"Urbano","")</f>
        <v>Urbano</v>
      </c>
      <c r="J20" s="9" t="str">
        <f>IF(NOT(ISBLANK([1]!Tabla32[[#This Row],[tID]])),"38-ENFERMEDAD GENERAL","")</f>
        <v>38-ENFERMEDAD GENERAL</v>
      </c>
      <c r="K20" s="9" t="str">
        <f>IF(NOT(ISBLANK([1]!Tabla32[[#This Row],[tID]])),"334-ODONTOLOGIA GENERAL","")</f>
        <v>334-ODONTOLOGIA GENERAL</v>
      </c>
      <c r="L20" s="9" t="str">
        <f>IF(NOT(ISBLANK([1]!Tabla32[[#This Row],[tID]])),"15-DIAGNOSTICO","")</f>
        <v>15-DIAGNOSTICO</v>
      </c>
      <c r="M20" s="9">
        <v>234301</v>
      </c>
      <c r="N20" s="9" t="s">
        <v>35</v>
      </c>
      <c r="O20" s="9"/>
      <c r="P20" s="17">
        <v>45913.458333333336</v>
      </c>
    </row>
    <row r="21" spans="1:16" x14ac:dyDescent="0.25">
      <c r="A21" s="7" t="s">
        <v>16</v>
      </c>
      <c r="B21" s="8">
        <v>52761875</v>
      </c>
      <c r="C21" s="9" t="s">
        <v>17</v>
      </c>
      <c r="D21" s="9" t="s">
        <v>31</v>
      </c>
      <c r="E21" s="9" t="s">
        <v>32</v>
      </c>
      <c r="F21" s="10">
        <v>30815</v>
      </c>
      <c r="G21" s="9" t="s">
        <v>20</v>
      </c>
      <c r="H21" s="9" t="str">
        <f>IF(NOT(ISBLANK([1]!Tabla32[[#This Row],[tID]])),"Bogotá","")</f>
        <v>Bogotá</v>
      </c>
      <c r="I21" s="9" t="str">
        <f>IF(NOT(ISBLANK([1]!Tabla32[[#This Row],[tID]])),"Urbano","")</f>
        <v>Urbano</v>
      </c>
      <c r="J21" s="9" t="str">
        <f>IF(NOT(ISBLANK([1]!Tabla32[[#This Row],[tID]])),"38-ENFERMEDAD GENERAL","")</f>
        <v>38-ENFERMEDAD GENERAL</v>
      </c>
      <c r="K21" s="9" t="str">
        <f>IF(NOT(ISBLANK([1]!Tabla32[[#This Row],[tID]])),"334-ODONTOLOGIA GENERAL","")</f>
        <v>334-ODONTOLOGIA GENERAL</v>
      </c>
      <c r="L21" s="9" t="str">
        <f>IF(NOT(ISBLANK([1]!Tabla32[[#This Row],[tID]])),"15-DIAGNOSTICO","")</f>
        <v>15-DIAGNOSTICO</v>
      </c>
      <c r="M21" s="9">
        <v>232102</v>
      </c>
      <c r="N21" s="9" t="s">
        <v>30</v>
      </c>
      <c r="O21" s="9"/>
      <c r="P21" s="17">
        <v>45915.416666666664</v>
      </c>
    </row>
    <row r="22" spans="1:16" x14ac:dyDescent="0.25">
      <c r="A22" s="7" t="s">
        <v>16</v>
      </c>
      <c r="B22" s="8">
        <v>1012451915</v>
      </c>
      <c r="C22" s="9" t="s">
        <v>17</v>
      </c>
      <c r="D22" s="9" t="s">
        <v>54</v>
      </c>
      <c r="E22" s="9" t="s">
        <v>55</v>
      </c>
      <c r="F22" s="10">
        <v>35912</v>
      </c>
      <c r="G22" s="9" t="s">
        <v>20</v>
      </c>
      <c r="H22" s="9" t="str">
        <f>IF(NOT(ISBLANK([1]!Tabla32[[#This Row],[tID]])),"Bogotá","")</f>
        <v>Bogotá</v>
      </c>
      <c r="I22" s="9" t="str">
        <f>IF(NOT(ISBLANK([1]!Tabla32[[#This Row],[tID]])),"Urbano","")</f>
        <v>Urbano</v>
      </c>
      <c r="J22" s="9" t="str">
        <f>IF(NOT(ISBLANK([1]!Tabla32[[#This Row],[tID]])),"38-ENFERMEDAD GENERAL","")</f>
        <v>38-ENFERMEDAD GENERAL</v>
      </c>
      <c r="K22" s="9" t="str">
        <f>IF(NOT(ISBLANK([1]!Tabla32[[#This Row],[tID]])),"334-ODONTOLOGIA GENERAL","")</f>
        <v>334-ODONTOLOGIA GENERAL</v>
      </c>
      <c r="L22" s="9" t="str">
        <f>IF(NOT(ISBLANK([1]!Tabla32[[#This Row],[tID]])),"15-DIAGNOSTICO","")</f>
        <v>15-DIAGNOSTICO</v>
      </c>
      <c r="M22" s="9">
        <v>997001</v>
      </c>
      <c r="N22" s="9" t="s">
        <v>51</v>
      </c>
      <c r="O22" s="9"/>
      <c r="P22" s="17">
        <v>45915.083333333336</v>
      </c>
    </row>
    <row r="23" spans="1:16" x14ac:dyDescent="0.25">
      <c r="A23" s="7" t="s">
        <v>16</v>
      </c>
      <c r="B23" s="8">
        <v>39638111</v>
      </c>
      <c r="C23" s="9" t="s">
        <v>17</v>
      </c>
      <c r="D23" s="9" t="s">
        <v>36</v>
      </c>
      <c r="E23" s="9" t="s">
        <v>37</v>
      </c>
      <c r="F23" s="10">
        <v>24252</v>
      </c>
      <c r="G23" s="9" t="s">
        <v>20</v>
      </c>
      <c r="H23" s="9" t="str">
        <f>IF(NOT(ISBLANK([1]!Tabla32[[#This Row],[tID]])),"Bogotá","")</f>
        <v>Bogotá</v>
      </c>
      <c r="I23" s="9" t="str">
        <f>IF(NOT(ISBLANK([1]!Tabla32[[#This Row],[tID]])),"Urbano","")</f>
        <v>Urbano</v>
      </c>
      <c r="J23" s="9" t="str">
        <f>IF(NOT(ISBLANK([1]!Tabla32[[#This Row],[tID]])),"38-ENFERMEDAD GENERAL","")</f>
        <v>38-ENFERMEDAD GENERAL</v>
      </c>
      <c r="K23" s="9" t="str">
        <f>IF(NOT(ISBLANK([1]!Tabla32[[#This Row],[tID]])),"334-ODONTOLOGIA GENERAL","")</f>
        <v>334-ODONTOLOGIA GENERAL</v>
      </c>
      <c r="L23" s="9" t="str">
        <f>IF(NOT(ISBLANK([1]!Tabla32[[#This Row],[tID]])),"15-DIAGNOSTICO","")</f>
        <v>15-DIAGNOSTICO</v>
      </c>
      <c r="M23" s="9">
        <v>232102</v>
      </c>
      <c r="N23" s="9" t="s">
        <v>30</v>
      </c>
      <c r="O23" s="9"/>
      <c r="P23" s="17">
        <v>45916.458333333336</v>
      </c>
    </row>
    <row r="24" spans="1:16" x14ac:dyDescent="0.25">
      <c r="A24" s="7" t="s">
        <v>16</v>
      </c>
      <c r="B24" s="8">
        <v>3021214</v>
      </c>
      <c r="C24" s="9" t="s">
        <v>17</v>
      </c>
      <c r="D24" s="9" t="s">
        <v>56</v>
      </c>
      <c r="E24" s="9" t="s">
        <v>57</v>
      </c>
      <c r="F24" s="10">
        <v>20502</v>
      </c>
      <c r="G24" s="9" t="s">
        <v>24</v>
      </c>
      <c r="H24" s="9" t="str">
        <f>IF(NOT(ISBLANK([1]!Tabla32[[#This Row],[tID]])),"Bogotá","")</f>
        <v>Bogotá</v>
      </c>
      <c r="I24" s="9" t="str">
        <f>IF(NOT(ISBLANK([1]!Tabla32[[#This Row],[tID]])),"Urbano","")</f>
        <v>Urbano</v>
      </c>
      <c r="J24" s="9" t="str">
        <f>IF(NOT(ISBLANK([1]!Tabla32[[#This Row],[tID]])),"38-ENFERMEDAD GENERAL","")</f>
        <v>38-ENFERMEDAD GENERAL</v>
      </c>
      <c r="K24" s="9" t="str">
        <f>IF(NOT(ISBLANK([1]!Tabla32[[#This Row],[tID]])),"334-ODONTOLOGIA GENERAL","")</f>
        <v>334-ODONTOLOGIA GENERAL</v>
      </c>
      <c r="L24" s="9" t="str">
        <f>IF(NOT(ISBLANK([1]!Tabla32[[#This Row],[tID]])),"15-DIAGNOSTICO","")</f>
        <v>15-DIAGNOSTICO</v>
      </c>
      <c r="M24" s="9">
        <v>234301</v>
      </c>
      <c r="N24" s="9" t="s">
        <v>35</v>
      </c>
      <c r="O24" s="9"/>
      <c r="P24" s="17">
        <v>45917.416666666664</v>
      </c>
    </row>
    <row r="25" spans="1:16" x14ac:dyDescent="0.25">
      <c r="A25" s="7" t="s">
        <v>16</v>
      </c>
      <c r="B25" s="8">
        <v>41692523</v>
      </c>
      <c r="C25" s="9" t="s">
        <v>17</v>
      </c>
      <c r="D25" s="9" t="s">
        <v>58</v>
      </c>
      <c r="E25" s="9" t="s">
        <v>59</v>
      </c>
      <c r="F25" s="10">
        <v>20285</v>
      </c>
      <c r="G25" s="9" t="s">
        <v>20</v>
      </c>
      <c r="H25" s="9" t="str">
        <f>IF(NOT(ISBLANK([1]!Tabla32[[#This Row],[tID]])),"Bogotá","")</f>
        <v>Bogotá</v>
      </c>
      <c r="I25" s="9" t="str">
        <f>IF(NOT(ISBLANK([1]!Tabla32[[#This Row],[tID]])),"Urbano","")</f>
        <v>Urbano</v>
      </c>
      <c r="J25" s="9" t="str">
        <f>IF(NOT(ISBLANK([1]!Tabla32[[#This Row],[tID]])),"38-ENFERMEDAD GENERAL","")</f>
        <v>38-ENFERMEDAD GENERAL</v>
      </c>
      <c r="K25" s="9" t="str">
        <f>IF(NOT(ISBLANK([1]!Tabla32[[#This Row],[tID]])),"334-ODONTOLOGIA GENERAL","")</f>
        <v>334-ODONTOLOGIA GENERAL</v>
      </c>
      <c r="L25" s="9" t="str">
        <f>IF(NOT(ISBLANK([1]!Tabla32[[#This Row],[tID]])),"15-DIAGNOSTICO","")</f>
        <v>15-DIAGNOSTICO</v>
      </c>
      <c r="M25" s="9">
        <v>230201</v>
      </c>
      <c r="N25" s="9" t="s">
        <v>25</v>
      </c>
      <c r="O25" s="9"/>
      <c r="P25" s="17">
        <v>45917.041666666664</v>
      </c>
    </row>
    <row r="26" spans="1:16" x14ac:dyDescent="0.25">
      <c r="A26" s="7" t="s">
        <v>16</v>
      </c>
      <c r="B26" s="8">
        <v>52154778</v>
      </c>
      <c r="C26" s="9" t="s">
        <v>17</v>
      </c>
      <c r="D26" s="9" t="s">
        <v>60</v>
      </c>
      <c r="E26" s="9" t="s">
        <v>61</v>
      </c>
      <c r="F26" s="10">
        <v>26400</v>
      </c>
      <c r="G26" s="9" t="s">
        <v>20</v>
      </c>
      <c r="H26" s="9" t="str">
        <f>IF(NOT(ISBLANK([1]!Tabla32[[#This Row],[tID]])),"Bogotá","")</f>
        <v>Bogotá</v>
      </c>
      <c r="I26" s="9" t="str">
        <f>IF(NOT(ISBLANK([1]!Tabla32[[#This Row],[tID]])),"Urbano","")</f>
        <v>Urbano</v>
      </c>
      <c r="J26" s="9" t="str">
        <f>IF(NOT(ISBLANK([1]!Tabla32[[#This Row],[tID]])),"38-ENFERMEDAD GENERAL","")</f>
        <v>38-ENFERMEDAD GENERAL</v>
      </c>
      <c r="K26" s="9" t="str">
        <f>IF(NOT(ISBLANK([1]!Tabla32[[#This Row],[tID]])),"334-ODONTOLOGIA GENERAL","")</f>
        <v>334-ODONTOLOGIA GENERAL</v>
      </c>
      <c r="L26" s="9" t="str">
        <f>IF(NOT(ISBLANK([1]!Tabla32[[#This Row],[tID]])),"15-DIAGNOSTICO","")</f>
        <v>15-DIAGNOSTICO</v>
      </c>
      <c r="M26" s="9">
        <v>230201</v>
      </c>
      <c r="N26" s="9" t="s">
        <v>25</v>
      </c>
      <c r="O26" s="9"/>
      <c r="P26" s="17">
        <v>45918.375</v>
      </c>
    </row>
    <row r="27" spans="1:16" x14ac:dyDescent="0.25">
      <c r="A27" s="7" t="s">
        <v>16</v>
      </c>
      <c r="B27" s="8">
        <v>6804606</v>
      </c>
      <c r="C27" s="9" t="s">
        <v>17</v>
      </c>
      <c r="D27" s="9" t="s">
        <v>43</v>
      </c>
      <c r="E27" s="9" t="s">
        <v>44</v>
      </c>
      <c r="F27" s="10">
        <v>30602</v>
      </c>
      <c r="G27" s="9" t="s">
        <v>24</v>
      </c>
      <c r="H27" s="9" t="str">
        <f>IF(NOT(ISBLANK([1]!Tabla32[[#This Row],[tID]])),"Bogotá","")</f>
        <v>Bogotá</v>
      </c>
      <c r="I27" s="9" t="str">
        <f>IF(NOT(ISBLANK([1]!Tabla32[[#This Row],[tID]])),"Urbano","")</f>
        <v>Urbano</v>
      </c>
      <c r="J27" s="9" t="str">
        <f>IF(NOT(ISBLANK([1]!Tabla32[[#This Row],[tID]])),"38-ENFERMEDAD GENERAL","")</f>
        <v>38-ENFERMEDAD GENERAL</v>
      </c>
      <c r="K27" s="9" t="str">
        <f>IF(NOT(ISBLANK([1]!Tabla32[[#This Row],[tID]])),"334-ODONTOLOGIA GENERAL","")</f>
        <v>334-ODONTOLOGIA GENERAL</v>
      </c>
      <c r="L27" s="9" t="str">
        <f>IF(NOT(ISBLANK([1]!Tabla32[[#This Row],[tID]])),"15-DIAGNOSTICO","")</f>
        <v>15-DIAGNOSTICO</v>
      </c>
      <c r="M27" s="9">
        <v>234301</v>
      </c>
      <c r="N27" s="9" t="s">
        <v>62</v>
      </c>
      <c r="O27" s="9"/>
      <c r="P27" s="17">
        <v>45918.5</v>
      </c>
    </row>
    <row r="28" spans="1:16" x14ac:dyDescent="0.25">
      <c r="A28" s="7" t="s">
        <v>16</v>
      </c>
      <c r="B28" s="8">
        <v>3021214</v>
      </c>
      <c r="C28" s="9" t="s">
        <v>17</v>
      </c>
      <c r="D28" s="9" t="s">
        <v>56</v>
      </c>
      <c r="E28" s="9" t="s">
        <v>57</v>
      </c>
      <c r="F28" s="10">
        <v>20502</v>
      </c>
      <c r="G28" s="9" t="s">
        <v>24</v>
      </c>
      <c r="H28" s="9" t="str">
        <f>IF(NOT(ISBLANK([1]!Tabla32[[#This Row],[tID]])),"Bogotá","")</f>
        <v>Bogotá</v>
      </c>
      <c r="I28" s="9" t="str">
        <f>IF(NOT(ISBLANK([1]!Tabla32[[#This Row],[tID]])),"Urbano","")</f>
        <v>Urbano</v>
      </c>
      <c r="J28" s="9" t="str">
        <f>IF(NOT(ISBLANK([1]!Tabla32[[#This Row],[tID]])),"38-ENFERMEDAD GENERAL","")</f>
        <v>38-ENFERMEDAD GENERAL</v>
      </c>
      <c r="K28" s="9" t="str">
        <f>IF(NOT(ISBLANK([1]!Tabla32[[#This Row],[tID]])),"334-ODONTOLOGIA GENERAL","")</f>
        <v>334-ODONTOLOGIA GENERAL</v>
      </c>
      <c r="L28" s="9" t="str">
        <f>IF(NOT(ISBLANK([1]!Tabla32[[#This Row],[tID]])),"15-DIAGNOSTICO","")</f>
        <v>15-DIAGNOSTICO</v>
      </c>
      <c r="M28" s="9">
        <v>234301</v>
      </c>
      <c r="N28" s="9" t="s">
        <v>35</v>
      </c>
      <c r="O28" s="9"/>
      <c r="P28" s="17">
        <v>45919.041666666664</v>
      </c>
    </row>
    <row r="29" spans="1:16" x14ac:dyDescent="0.25">
      <c r="A29" s="7" t="s">
        <v>16</v>
      </c>
      <c r="B29" s="8">
        <v>79434357</v>
      </c>
      <c r="C29" s="9" t="s">
        <v>17</v>
      </c>
      <c r="D29" s="9" t="s">
        <v>63</v>
      </c>
      <c r="E29" s="9" t="s">
        <v>64</v>
      </c>
      <c r="F29" s="10">
        <v>24757</v>
      </c>
      <c r="G29" s="9" t="s">
        <v>24</v>
      </c>
      <c r="H29" s="9" t="str">
        <f>IF(NOT(ISBLANK([1]!Tabla32[[#This Row],[tID]])),"Bogotá","")</f>
        <v>Bogotá</v>
      </c>
      <c r="I29" s="9" t="str">
        <f>IF(NOT(ISBLANK([1]!Tabla32[[#This Row],[tID]])),"Urbano","")</f>
        <v>Urbano</v>
      </c>
      <c r="J29" s="9" t="str">
        <f>IF(NOT(ISBLANK([1]!Tabla32[[#This Row],[tID]])),"38-ENFERMEDAD GENERAL","")</f>
        <v>38-ENFERMEDAD GENERAL</v>
      </c>
      <c r="K29" s="9" t="str">
        <f>IF(NOT(ISBLANK([1]!Tabla32[[#This Row],[tID]])),"334-ODONTOLOGIA GENERAL","")</f>
        <v>334-ODONTOLOGIA GENERAL</v>
      </c>
      <c r="L29" s="9" t="str">
        <f>IF(NOT(ISBLANK([1]!Tabla32[[#This Row],[tID]])),"15-DIAGNOSTICO","")</f>
        <v>15-DIAGNOSTICO</v>
      </c>
      <c r="M29" s="9">
        <v>231303</v>
      </c>
      <c r="N29" s="9" t="s">
        <v>65</v>
      </c>
      <c r="O29" s="9"/>
      <c r="P29" s="17">
        <v>45919.125</v>
      </c>
    </row>
    <row r="30" spans="1:16" x14ac:dyDescent="0.25">
      <c r="A30" s="7" t="s">
        <v>16</v>
      </c>
      <c r="B30" s="13">
        <v>1000780960</v>
      </c>
      <c r="C30" s="9" t="s">
        <v>17</v>
      </c>
      <c r="D30" s="9" t="s">
        <v>66</v>
      </c>
      <c r="E30" s="9" t="s">
        <v>67</v>
      </c>
      <c r="F30" s="10">
        <v>36872</v>
      </c>
      <c r="G30" s="9" t="s">
        <v>20</v>
      </c>
      <c r="H30" s="9" t="str">
        <f>IF(NOT(ISBLANK([1]!Tabla32[[#This Row],[tID]])),"Bogotá","")</f>
        <v>Bogotá</v>
      </c>
      <c r="I30" s="9" t="str">
        <f>IF(NOT(ISBLANK([1]!Tabla32[[#This Row],[tID]])),"Urbano","")</f>
        <v>Urbano</v>
      </c>
      <c r="J30" s="9" t="str">
        <f>IF(NOT(ISBLANK([1]!Tabla32[[#This Row],[tID]])),"38-ENFERMEDAD GENERAL","")</f>
        <v>38-ENFERMEDAD GENERAL</v>
      </c>
      <c r="K30" s="9" t="str">
        <f>IF(NOT(ISBLANK([1]!Tabla32[[#This Row],[tID]])),"334-ODONTOLOGIA GENERAL","")</f>
        <v>334-ODONTOLOGIA GENERAL</v>
      </c>
      <c r="L30" s="9" t="str">
        <f>IF(NOT(ISBLANK([1]!Tabla32[[#This Row],[tID]])),"15-DIAGNOSTICO","")</f>
        <v>15-DIAGNOSTICO</v>
      </c>
      <c r="M30" s="9">
        <v>231303</v>
      </c>
      <c r="N30" s="9" t="s">
        <v>65</v>
      </c>
      <c r="O30" s="9"/>
      <c r="P30" s="17">
        <v>45920.458333333336</v>
      </c>
    </row>
    <row r="31" spans="1:16" x14ac:dyDescent="0.25">
      <c r="A31" s="7" t="s">
        <v>16</v>
      </c>
      <c r="B31" s="13">
        <v>53100562</v>
      </c>
      <c r="C31" s="9" t="s">
        <v>17</v>
      </c>
      <c r="D31" s="9" t="s">
        <v>68</v>
      </c>
      <c r="E31" s="9" t="s">
        <v>69</v>
      </c>
      <c r="F31" s="10">
        <v>31136</v>
      </c>
      <c r="G31" s="9" t="s">
        <v>20</v>
      </c>
      <c r="H31" s="9" t="str">
        <f>IF(NOT(ISBLANK([1]!Tabla32[[#This Row],[tID]])),"Bogotá","")</f>
        <v>Bogotá</v>
      </c>
      <c r="I31" s="9" t="str">
        <f>IF(NOT(ISBLANK([1]!Tabla32[[#This Row],[tID]])),"Urbano","")</f>
        <v>Urbano</v>
      </c>
      <c r="J31" s="9" t="str">
        <f>IF(NOT(ISBLANK([1]!Tabla32[[#This Row],[tID]])),"38-ENFERMEDAD GENERAL","")</f>
        <v>38-ENFERMEDAD GENERAL</v>
      </c>
      <c r="K31" s="9" t="str">
        <f>IF(NOT(ISBLANK([1]!Tabla32[[#This Row],[tID]])),"334-ODONTOLOGIA GENERAL","")</f>
        <v>334-ODONTOLOGIA GENERAL</v>
      </c>
      <c r="L31" s="9" t="str">
        <f>IF(NOT(ISBLANK([1]!Tabla32[[#This Row],[tID]])),"15-DIAGNOSTICO","")</f>
        <v>15-DIAGNOSTICO</v>
      </c>
      <c r="M31" s="9">
        <v>234105</v>
      </c>
      <c r="N31" s="9" t="s">
        <v>21</v>
      </c>
      <c r="O31" s="9"/>
      <c r="P31" s="17">
        <v>45922.416666666664</v>
      </c>
    </row>
    <row r="32" spans="1:16" x14ac:dyDescent="0.25">
      <c r="A32" s="7" t="s">
        <v>16</v>
      </c>
      <c r="B32" s="13">
        <v>52300953</v>
      </c>
      <c r="C32" s="9" t="s">
        <v>17</v>
      </c>
      <c r="D32" s="9" t="s">
        <v>70</v>
      </c>
      <c r="E32" s="9" t="s">
        <v>71</v>
      </c>
      <c r="F32" s="10">
        <v>27596</v>
      </c>
      <c r="G32" s="9" t="s">
        <v>20</v>
      </c>
      <c r="H32" s="9" t="str">
        <f>IF(NOT(ISBLANK([1]!Tabla32[[#This Row],[tID]])),"Bogotá","")</f>
        <v>Bogotá</v>
      </c>
      <c r="I32" s="9" t="str">
        <f>IF(NOT(ISBLANK([1]!Tabla32[[#This Row],[tID]])),"Urbano","")</f>
        <v>Urbano</v>
      </c>
      <c r="J32" s="9" t="str">
        <f>IF(NOT(ISBLANK([1]!Tabla32[[#This Row],[tID]])),"38-ENFERMEDAD GENERAL","")</f>
        <v>38-ENFERMEDAD GENERAL</v>
      </c>
      <c r="K32" s="9" t="str">
        <f>IF(NOT(ISBLANK([1]!Tabla32[[#This Row],[tID]])),"334-ODONTOLOGIA GENERAL","")</f>
        <v>334-ODONTOLOGIA GENERAL</v>
      </c>
      <c r="L32" s="9" t="str">
        <f>IF(NOT(ISBLANK([1]!Tabla32[[#This Row],[tID]])),"15-DIAGNOSTICO","")</f>
        <v>15-DIAGNOSTICO</v>
      </c>
      <c r="M32" s="9">
        <v>232102</v>
      </c>
      <c r="N32" s="9" t="s">
        <v>30</v>
      </c>
      <c r="O32" s="9"/>
      <c r="P32" s="17">
        <v>45922.041666666664</v>
      </c>
    </row>
    <row r="33" spans="1:16" x14ac:dyDescent="0.25">
      <c r="A33" s="7" t="s">
        <v>16</v>
      </c>
      <c r="B33" s="8">
        <v>4089798</v>
      </c>
      <c r="C33" s="9" t="s">
        <v>17</v>
      </c>
      <c r="D33" s="9" t="s">
        <v>26</v>
      </c>
      <c r="E33" s="9" t="s">
        <v>27</v>
      </c>
      <c r="F33" s="10">
        <v>16273</v>
      </c>
      <c r="G33" s="9" t="s">
        <v>24</v>
      </c>
      <c r="H33" s="9" t="str">
        <f>IF(NOT(ISBLANK([1]!Tabla32[[#This Row],[tID]])),"Bogotá","")</f>
        <v>Bogotá</v>
      </c>
      <c r="I33" s="9" t="str">
        <f>IF(NOT(ISBLANK([1]!Tabla32[[#This Row],[tID]])),"Urbano","")</f>
        <v>Urbano</v>
      </c>
      <c r="J33" s="9" t="str">
        <f>IF(NOT(ISBLANK([1]!Tabla32[[#This Row],[tID]])),"38-ENFERMEDAD GENERAL","")</f>
        <v>38-ENFERMEDAD GENERAL</v>
      </c>
      <c r="K33" s="9" t="str">
        <f>IF(NOT(ISBLANK([1]!Tabla32[[#This Row],[tID]])),"334-ODONTOLOGIA GENERAL","")</f>
        <v>334-ODONTOLOGIA GENERAL</v>
      </c>
      <c r="L33" s="9" t="str">
        <f>IF(NOT(ISBLANK([1]!Tabla32[[#This Row],[tID]])),"15-DIAGNOSTICO","")</f>
        <v>15-DIAGNOSTICO</v>
      </c>
      <c r="M33" s="9">
        <v>230102</v>
      </c>
      <c r="N33" s="9" t="s">
        <v>25</v>
      </c>
      <c r="O33" s="9"/>
      <c r="P33" s="17">
        <v>45922.125</v>
      </c>
    </row>
    <row r="34" spans="1:16" x14ac:dyDescent="0.25">
      <c r="A34" s="7" t="s">
        <v>16</v>
      </c>
      <c r="B34" s="8">
        <v>14321107</v>
      </c>
      <c r="C34" s="9" t="s">
        <v>17</v>
      </c>
      <c r="D34" s="9" t="s">
        <v>22</v>
      </c>
      <c r="E34" s="9" t="s">
        <v>23</v>
      </c>
      <c r="F34" s="10">
        <v>25020</v>
      </c>
      <c r="G34" s="9" t="s">
        <v>24</v>
      </c>
      <c r="H34" s="9" t="str">
        <f>IF(NOT(ISBLANK([1]!Tabla32[[#This Row],[tID]])),"Bogotá","")</f>
        <v>Bogotá</v>
      </c>
      <c r="I34" s="9" t="str">
        <f>IF(NOT(ISBLANK([1]!Tabla32[[#This Row],[tID]])),"Urbano","")</f>
        <v>Urbano</v>
      </c>
      <c r="J34" s="9" t="str">
        <f>IF(NOT(ISBLANK([1]!Tabla32[[#This Row],[tID]])),"38-ENFERMEDAD GENERAL","")</f>
        <v>38-ENFERMEDAD GENERAL</v>
      </c>
      <c r="K34" s="9" t="str">
        <f>IF(NOT(ISBLANK([1]!Tabla32[[#This Row],[tID]])),"334-ODONTOLOGIA GENERAL","")</f>
        <v>334-ODONTOLOGIA GENERAL</v>
      </c>
      <c r="L34" s="9" t="str">
        <f>IF(NOT(ISBLANK([1]!Tabla32[[#This Row],[tID]])),"15-DIAGNOSTICO","")</f>
        <v>15-DIAGNOSTICO</v>
      </c>
      <c r="M34" s="9">
        <v>230102</v>
      </c>
      <c r="N34" s="9" t="s">
        <v>25</v>
      </c>
      <c r="O34" s="9"/>
      <c r="P34" s="17">
        <v>45923.416666666664</v>
      </c>
    </row>
    <row r="35" spans="1:16" x14ac:dyDescent="0.25">
      <c r="A35" s="7" t="s">
        <v>16</v>
      </c>
      <c r="B35" s="13">
        <v>53100562</v>
      </c>
      <c r="C35" s="9" t="s">
        <v>17</v>
      </c>
      <c r="D35" s="9" t="s">
        <v>68</v>
      </c>
      <c r="E35" s="9" t="s">
        <v>69</v>
      </c>
      <c r="F35" s="10">
        <v>31136</v>
      </c>
      <c r="G35" s="9" t="s">
        <v>20</v>
      </c>
      <c r="H35" s="9" t="str">
        <f>IF(NOT(ISBLANK([1]!Tabla32[[#This Row],[tID]])),"Bogotá","")</f>
        <v>Bogotá</v>
      </c>
      <c r="I35" s="9" t="str">
        <f>IF(NOT(ISBLANK([1]!Tabla32[[#This Row],[tID]])),"Urbano","")</f>
        <v>Urbano</v>
      </c>
      <c r="J35" s="9" t="str">
        <f>IF(NOT(ISBLANK([1]!Tabla32[[#This Row],[tID]])),"38-ENFERMEDAD GENERAL","")</f>
        <v>38-ENFERMEDAD GENERAL</v>
      </c>
      <c r="K35" s="9" t="str">
        <f>IF(NOT(ISBLANK([1]!Tabla32[[#This Row],[tID]])),"334-ODONTOLOGIA GENERAL","")</f>
        <v>334-ODONTOLOGIA GENERAL</v>
      </c>
      <c r="L35" s="9" t="str">
        <f>IF(NOT(ISBLANK([1]!Tabla32[[#This Row],[tID]])),"15-DIAGNOSTICO","")</f>
        <v>15-DIAGNOSTICO</v>
      </c>
      <c r="M35" s="9">
        <v>234105</v>
      </c>
      <c r="N35" s="9" t="s">
        <v>21</v>
      </c>
      <c r="O35" s="9"/>
      <c r="P35" s="17">
        <v>45924.458333333336</v>
      </c>
    </row>
    <row r="36" spans="1:16" x14ac:dyDescent="0.25">
      <c r="A36" s="7" t="s">
        <v>16</v>
      </c>
      <c r="B36" s="8">
        <v>3021214</v>
      </c>
      <c r="C36" s="9" t="s">
        <v>17</v>
      </c>
      <c r="D36" s="9" t="s">
        <v>56</v>
      </c>
      <c r="E36" s="9" t="s">
        <v>57</v>
      </c>
      <c r="F36" s="10">
        <v>20502</v>
      </c>
      <c r="G36" s="9" t="s">
        <v>24</v>
      </c>
      <c r="H36" s="9" t="str">
        <f>IF(NOT(ISBLANK([1]!Tabla32[[#This Row],[tID]])),"Bogotá","")</f>
        <v>Bogotá</v>
      </c>
      <c r="I36" s="9" t="str">
        <f>IF(NOT(ISBLANK([1]!Tabla32[[#This Row],[tID]])),"Urbano","")</f>
        <v>Urbano</v>
      </c>
      <c r="J36" s="9" t="str">
        <f>IF(NOT(ISBLANK([1]!Tabla32[[#This Row],[tID]])),"38-ENFERMEDAD GENERAL","")</f>
        <v>38-ENFERMEDAD GENERAL</v>
      </c>
      <c r="K36" s="9" t="str">
        <f>IF(NOT(ISBLANK([1]!Tabla32[[#This Row],[tID]])),"334-ODONTOLOGIA GENERAL","")</f>
        <v>334-ODONTOLOGIA GENERAL</v>
      </c>
      <c r="L36" s="9" t="str">
        <f>IF(NOT(ISBLANK([1]!Tabla32[[#This Row],[tID]])),"15-DIAGNOSTICO","")</f>
        <v>15-DIAGNOSTICO</v>
      </c>
      <c r="M36" s="9">
        <v>234301</v>
      </c>
      <c r="N36" s="9" t="s">
        <v>35</v>
      </c>
      <c r="O36" s="9"/>
      <c r="P36" s="17">
        <v>45924.083333333336</v>
      </c>
    </row>
    <row r="37" spans="1:16" x14ac:dyDescent="0.25">
      <c r="A37" s="7" t="s">
        <v>16</v>
      </c>
      <c r="B37" s="13">
        <v>53134508</v>
      </c>
      <c r="C37" s="9" t="s">
        <v>17</v>
      </c>
      <c r="D37" s="9" t="s">
        <v>72</v>
      </c>
      <c r="E37" s="9" t="s">
        <v>73</v>
      </c>
      <c r="F37" s="10">
        <v>31262</v>
      </c>
      <c r="G37" s="9" t="s">
        <v>20</v>
      </c>
      <c r="H37" s="9" t="str">
        <f>IF(NOT(ISBLANK([1]!Tabla32[[#This Row],[tID]])),"Bogotá","")</f>
        <v>Bogotá</v>
      </c>
      <c r="I37" s="9" t="str">
        <f>IF(NOT(ISBLANK([1]!Tabla32[[#This Row],[tID]])),"Urbano","")</f>
        <v>Urbano</v>
      </c>
      <c r="J37" s="9" t="str">
        <f>IF(NOT(ISBLANK([1]!Tabla32[[#This Row],[tID]])),"38-ENFERMEDAD GENERAL","")</f>
        <v>38-ENFERMEDAD GENERAL</v>
      </c>
      <c r="K37" s="9" t="str">
        <f>IF(NOT(ISBLANK([1]!Tabla32[[#This Row],[tID]])),"334-ODONTOLOGIA GENERAL","")</f>
        <v>334-ODONTOLOGIA GENERAL</v>
      </c>
      <c r="L37" s="9" t="str">
        <f>IF(NOT(ISBLANK([1]!Tabla32[[#This Row],[tID]])),"15-DIAGNOSTICO","")</f>
        <v>15-DIAGNOSTICO</v>
      </c>
      <c r="M37" s="9">
        <v>237103</v>
      </c>
      <c r="N37" s="9" t="s">
        <v>74</v>
      </c>
      <c r="O37" s="9"/>
      <c r="P37" s="17">
        <v>45925.5</v>
      </c>
    </row>
    <row r="38" spans="1:16" x14ac:dyDescent="0.25">
      <c r="A38" s="7" t="s">
        <v>16</v>
      </c>
      <c r="B38" s="8">
        <v>39635412</v>
      </c>
      <c r="C38" s="9" t="s">
        <v>17</v>
      </c>
      <c r="D38" s="9" t="s">
        <v>75</v>
      </c>
      <c r="E38" s="9" t="s">
        <v>76</v>
      </c>
      <c r="F38" s="10">
        <v>23032</v>
      </c>
      <c r="G38" s="9" t="s">
        <v>20</v>
      </c>
      <c r="H38" s="9" t="str">
        <f>IF(NOT(ISBLANK([1]!Tabla32[[#This Row],[tID]])),"Bogotá","")</f>
        <v>Bogotá</v>
      </c>
      <c r="I38" s="9" t="str">
        <f>IF(NOT(ISBLANK([1]!Tabla32[[#This Row],[tID]])),"Urbano","")</f>
        <v>Urbano</v>
      </c>
      <c r="J38" s="9" t="str">
        <f>IF(NOT(ISBLANK([1]!Tabla32[[#This Row],[tID]])),"38-ENFERMEDAD GENERAL","")</f>
        <v>38-ENFERMEDAD GENERAL</v>
      </c>
      <c r="K38" s="9" t="str">
        <f>IF(NOT(ISBLANK([1]!Tabla32[[#This Row],[tID]])),"334-ODONTOLOGIA GENERAL","")</f>
        <v>334-ODONTOLOGIA GENERAL</v>
      </c>
      <c r="L38" s="9" t="str">
        <f>IF(NOT(ISBLANK([1]!Tabla32[[#This Row],[tID]])),"15-DIAGNOSTICO","")</f>
        <v>15-DIAGNOSTICO</v>
      </c>
      <c r="M38" s="9">
        <v>237103</v>
      </c>
      <c r="N38" s="9" t="s">
        <v>74</v>
      </c>
      <c r="O38" s="9"/>
      <c r="P38" s="17">
        <v>45926.416666666664</v>
      </c>
    </row>
    <row r="39" spans="1:16" x14ac:dyDescent="0.25">
      <c r="A39" s="7" t="s">
        <v>16</v>
      </c>
      <c r="B39" s="13">
        <v>39638111</v>
      </c>
      <c r="C39" s="9" t="s">
        <v>17</v>
      </c>
      <c r="D39" s="9" t="s">
        <v>36</v>
      </c>
      <c r="E39" s="9" t="s">
        <v>37</v>
      </c>
      <c r="F39" s="10">
        <v>24252</v>
      </c>
      <c r="G39" s="9" t="s">
        <v>20</v>
      </c>
      <c r="H39" s="9" t="str">
        <f>IF(NOT(ISBLANK([1]!Tabla32[[#This Row],[tID]])),"Bogotá","")</f>
        <v>Bogotá</v>
      </c>
      <c r="I39" s="9" t="str">
        <f>IF(NOT(ISBLANK([1]!Tabla32[[#This Row],[tID]])),"Urbano","")</f>
        <v>Urbano</v>
      </c>
      <c r="J39" s="9" t="str">
        <f>IF(NOT(ISBLANK([1]!Tabla32[[#This Row],[tID]])),"38-ENFERMEDAD GENERAL","")</f>
        <v>38-ENFERMEDAD GENERAL</v>
      </c>
      <c r="K39" s="9" t="str">
        <f>IF(NOT(ISBLANK([1]!Tabla32[[#This Row],[tID]])),"334-ODONTOLOGIA GENERAL","")</f>
        <v>334-ODONTOLOGIA GENERAL</v>
      </c>
      <c r="L39" s="9" t="str">
        <f>IF(NOT(ISBLANK([1]!Tabla32[[#This Row],[tID]])),"15-DIAGNOSTICO","")</f>
        <v>15-DIAGNOSTICO</v>
      </c>
      <c r="M39" s="9">
        <v>234301</v>
      </c>
      <c r="N39" s="9" t="s">
        <v>35</v>
      </c>
      <c r="O39" s="9"/>
      <c r="P39" s="17">
        <v>45926.5</v>
      </c>
    </row>
    <row r="40" spans="1:16" x14ac:dyDescent="0.25">
      <c r="A40" s="7" t="s">
        <v>16</v>
      </c>
      <c r="B40" s="8">
        <v>14321107</v>
      </c>
      <c r="C40" s="9" t="s">
        <v>17</v>
      </c>
      <c r="D40" s="9" t="s">
        <v>22</v>
      </c>
      <c r="E40" s="9" t="s">
        <v>23</v>
      </c>
      <c r="F40" s="10">
        <v>25020</v>
      </c>
      <c r="G40" s="9" t="s">
        <v>24</v>
      </c>
      <c r="H40" s="9" t="str">
        <f>IF(NOT(ISBLANK([1]!Tabla32[[#This Row],[tID]])),"Bogotá","")</f>
        <v>Bogotá</v>
      </c>
      <c r="I40" s="9" t="str">
        <f>IF(NOT(ISBLANK([1]!Tabla32[[#This Row],[tID]])),"Urbano","")</f>
        <v>Urbano</v>
      </c>
      <c r="J40" s="9" t="str">
        <f>IF(NOT(ISBLANK([1]!Tabla32[[#This Row],[tID]])),"38-ENFERMEDAD GENERAL","")</f>
        <v>38-ENFERMEDAD GENERAL</v>
      </c>
      <c r="K40" s="9" t="str">
        <f>IF(NOT(ISBLANK([1]!Tabla32[[#This Row],[tID]])),"334-ODONTOLOGIA GENERAL","")</f>
        <v>334-ODONTOLOGIA GENERAL</v>
      </c>
      <c r="L40" s="9" t="str">
        <f>IF(NOT(ISBLANK([1]!Tabla32[[#This Row],[tID]])),"15-DIAGNOSTICO","")</f>
        <v>15-DIAGNOSTICO</v>
      </c>
      <c r="M40" s="9">
        <v>997001</v>
      </c>
      <c r="N40" s="9" t="s">
        <v>51</v>
      </c>
      <c r="O40" s="9"/>
      <c r="P40" s="17">
        <v>45927.083333333336</v>
      </c>
    </row>
    <row r="41" spans="1:16" x14ac:dyDescent="0.25">
      <c r="A41" s="7" t="s">
        <v>16</v>
      </c>
      <c r="B41" s="8">
        <v>52154778</v>
      </c>
      <c r="C41" s="9" t="s">
        <v>17</v>
      </c>
      <c r="D41" s="9" t="s">
        <v>60</v>
      </c>
      <c r="E41" s="9" t="s">
        <v>61</v>
      </c>
      <c r="F41" s="10">
        <v>26400</v>
      </c>
      <c r="G41" s="9" t="s">
        <v>20</v>
      </c>
      <c r="H41" s="9" t="s">
        <v>38</v>
      </c>
      <c r="I41" s="11" t="s">
        <v>39</v>
      </c>
      <c r="J41" s="9" t="str">
        <f>IF(NOT(ISBLANK([1]!Tabla32[[#This Row],[tID]])),"38-ENFERMEDAD GENERAL","")</f>
        <v>38-ENFERMEDAD GENERAL</v>
      </c>
      <c r="K41" s="9" t="s">
        <v>40</v>
      </c>
      <c r="L41" s="9" t="str">
        <f>IF(NOT(ISBLANK([1]!Tabla32[[#This Row],[tID]])),"15-DIAGNOSTICO","")</f>
        <v>15-DIAGNOSTICO</v>
      </c>
      <c r="M41" s="9">
        <v>230101</v>
      </c>
      <c r="N41" s="9" t="s">
        <v>25</v>
      </c>
      <c r="O41" s="9"/>
      <c r="P41" s="17">
        <v>45929.458333333336</v>
      </c>
    </row>
    <row r="42" spans="1:16" x14ac:dyDescent="0.25">
      <c r="A42" s="7" t="s">
        <v>16</v>
      </c>
      <c r="B42" s="13">
        <v>53100562</v>
      </c>
      <c r="C42" s="9" t="s">
        <v>17</v>
      </c>
      <c r="D42" s="9" t="s">
        <v>68</v>
      </c>
      <c r="E42" s="9" t="s">
        <v>69</v>
      </c>
      <c r="F42" s="10">
        <v>31136</v>
      </c>
      <c r="G42" s="9" t="s">
        <v>20</v>
      </c>
      <c r="H42" s="9" t="s">
        <v>38</v>
      </c>
      <c r="I42" s="11" t="s">
        <v>39</v>
      </c>
      <c r="J42" s="9" t="str">
        <f>IF(NOT(ISBLANK([1]!Tabla32[[#This Row],[tID]])),"38-ENFERMEDAD GENERAL","")</f>
        <v>38-ENFERMEDAD GENERAL</v>
      </c>
      <c r="K42" s="9" t="s">
        <v>40</v>
      </c>
      <c r="L42" s="9" t="str">
        <f>IF(NOT(ISBLANK([1]!Tabla32[[#This Row],[tID]])),"15-DIAGNOSTICO","")</f>
        <v>15-DIAGNOSTICO</v>
      </c>
      <c r="M42" s="9">
        <v>234101</v>
      </c>
      <c r="N42" s="9" t="s">
        <v>25</v>
      </c>
      <c r="O42" s="9"/>
      <c r="P42" s="17">
        <v>45929.041666666664</v>
      </c>
    </row>
    <row r="43" spans="1:16" x14ac:dyDescent="0.25">
      <c r="A43" s="7" t="s">
        <v>16</v>
      </c>
      <c r="B43" s="13">
        <v>41692523</v>
      </c>
      <c r="C43" s="9" t="str">
        <f>IF(NOT(ISBLANK([1]!Tabla32[[#This Row],[tID]])),"Colombia","")</f>
        <v>Colombia</v>
      </c>
      <c r="D43" s="9" t="s">
        <v>58</v>
      </c>
      <c r="E43" s="9" t="s">
        <v>59</v>
      </c>
      <c r="F43" s="12">
        <v>20255</v>
      </c>
      <c r="G43" s="9" t="s">
        <v>20</v>
      </c>
      <c r="H43" s="9" t="s">
        <v>38</v>
      </c>
      <c r="I43" s="11" t="s">
        <v>39</v>
      </c>
      <c r="J43" s="9" t="str">
        <f>IF(NOT(ISBLANK([1]!Tabla32[[#This Row],[tID]])),"38-ENFERMEDAD GENERAL","")</f>
        <v>38-ENFERMEDAD GENERAL</v>
      </c>
      <c r="K43" s="9" t="s">
        <v>40</v>
      </c>
      <c r="L43" s="9" t="str">
        <f>IF(NOT(ISBLANK([1]!Tabla32[[#This Row],[tID]])),"15-DIAGNOSTICO","")</f>
        <v>15-DIAGNOSTICO</v>
      </c>
      <c r="M43" s="9">
        <v>997001</v>
      </c>
      <c r="N43" s="9" t="s">
        <v>51</v>
      </c>
      <c r="O43" s="9"/>
      <c r="P43" s="17">
        <v>45930.375</v>
      </c>
    </row>
    <row r="44" spans="1:16" x14ac:dyDescent="0.25">
      <c r="A44" s="15"/>
    </row>
  </sheetData>
  <autoFilter ref="A1:Q44" xr:uid="{00000000-0001-0000-0000-000000000000}"/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'C:\Users\HP\Documents\RIPS\RIPS 2025\[SEPTIEMBRE.xlsx]Referencias'!#REF!</xm:f>
          </x14:formula1>
          <xm:sqref>L2:L43 A2:A43 G2 K41:K43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dinamycode Software</dc:creator>
  <cp:lastModifiedBy>dinamycode Software</cp:lastModifiedBy>
  <dcterms:created xsi:type="dcterms:W3CDTF">2025-09-09T20:07:29Z</dcterms:created>
  <dcterms:modified xsi:type="dcterms:W3CDTF">2025-10-04T20:14:37Z</dcterms:modified>
</cp:coreProperties>
</file>